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 Dholakia\Downloads\"/>
    </mc:Choice>
  </mc:AlternateContent>
  <xr:revisionPtr revIDLastSave="0" documentId="8_{9CDF8210-7083-40F1-AAA3-48BCAC7DD0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rtfolio Summary" sheetId="1" r:id="rId1"/>
    <sheet name="Strategy &amp; Timeline" sheetId="2" r:id="rId2"/>
    <sheet name="Crypto Detail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3" l="1"/>
  <c r="E21" i="1"/>
  <c r="B21" i="1"/>
</calcChain>
</file>

<file path=xl/sharedStrings.xml><?xml version="1.0" encoding="utf-8"?>
<sst xmlns="http://schemas.openxmlformats.org/spreadsheetml/2006/main" count="204" uniqueCount="175">
  <si>
    <t>HYPOTHETICAL INVESTMENT PORTFOLIO  |  ₹1,00,000  |  YASH DHOLAKIA  |  JUNE 2026</t>
  </si>
  <si>
    <t>CodeAlpha Finance &amp; Investment Internship  |  For Educational / Hypothetical Purposes Only</t>
  </si>
  <si>
    <t>SECTION A — PORTFOLIO ALLOCATION SUMMARY</t>
  </si>
  <si>
    <t>Asset Class</t>
  </si>
  <si>
    <t>Allocation %</t>
  </si>
  <si>
    <t>Amount (₹)</t>
  </si>
  <si>
    <t>No. of Assets</t>
  </si>
  <si>
    <t>Risk Level</t>
  </si>
  <si>
    <t>Primary Role</t>
  </si>
  <si>
    <t>Benchmark / Index</t>
  </si>
  <si>
    <t>Expected Return</t>
  </si>
  <si>
    <t>Liquidity</t>
  </si>
  <si>
    <t>Rebalance Freq.</t>
  </si>
  <si>
    <t>Stocks (Equities)</t>
  </si>
  <si>
    <t>Medium</t>
  </si>
  <si>
    <t>Long-term growth</t>
  </si>
  <si>
    <t>Nifty 50 / Sensex</t>
  </si>
  <si>
    <t>12–18% p.a.</t>
  </si>
  <si>
    <t>T+1 (NSE)</t>
  </si>
  <si>
    <t>Every 6 months</t>
  </si>
  <si>
    <t>ETFs (Index Funds)</t>
  </si>
  <si>
    <t>Low–Medium</t>
  </si>
  <si>
    <t>Passive diversification</t>
  </si>
  <si>
    <t>Nifty 50 TRI / Gold</t>
  </si>
  <si>
    <t>9–15% p.a.</t>
  </si>
  <si>
    <t>Cryptocurrency</t>
  </si>
  <si>
    <t>Very High</t>
  </si>
  <si>
    <t>High-risk growth hedge</t>
  </si>
  <si>
    <t>BTC / ETH / SOL</t>
  </si>
  <si>
    <t>High volatility</t>
  </si>
  <si>
    <t>T+0 (24/7)</t>
  </si>
  <si>
    <t>Every 3 months</t>
  </si>
  <si>
    <t>TOTAL PORTFOLIO</t>
  </si>
  <si>
    <t>Moderate</t>
  </si>
  <si>
    <t>Balanced growth</t>
  </si>
  <si>
    <t>Diversified</t>
  </si>
  <si>
    <t>15–25% p.a.</t>
  </si>
  <si>
    <t>Highly Liquid</t>
  </si>
  <si>
    <t>Every 3–6 months</t>
  </si>
  <si>
    <t>SECTION B — INDIVIDUAL HOLDINGS</t>
  </si>
  <si>
    <t>Asset Name</t>
  </si>
  <si>
    <t>Type</t>
  </si>
  <si>
    <t>Ticker</t>
  </si>
  <si>
    <t>Sector</t>
  </si>
  <si>
    <t>Units (approx.)</t>
  </si>
  <si>
    <t>Current Price</t>
  </si>
  <si>
    <t>1-Yr Return</t>
  </si>
  <si>
    <t>Reliance Industries</t>
  </si>
  <si>
    <t>Stock</t>
  </si>
  <si>
    <t>NSE: RELIANCE</t>
  </si>
  <si>
    <t>Energy / Conglomerate</t>
  </si>
  <si>
    <t>~15 shares</t>
  </si>
  <si>
    <t>₹1,303</t>
  </si>
  <si>
    <t>-6.47%</t>
  </si>
  <si>
    <t>TCS</t>
  </si>
  <si>
    <t>NSE: TCS</t>
  </si>
  <si>
    <t>Information Technology</t>
  </si>
  <si>
    <t>~6 shares</t>
  </si>
  <si>
    <t>₹2,346</t>
  </si>
  <si>
    <t>-33.7%</t>
  </si>
  <si>
    <t>HDFC Bank</t>
  </si>
  <si>
    <t>NSE: HDFCBANK</t>
  </si>
  <si>
    <t>Banking &amp; Finance</t>
  </si>
  <si>
    <t>~20 shares</t>
  </si>
  <si>
    <t>₹748</t>
  </si>
  <si>
    <t>-26.7%</t>
  </si>
  <si>
    <t>Nippon Nifty 50 BeES</t>
  </si>
  <si>
    <t>ETF</t>
  </si>
  <si>
    <t>NSE: NIFTYBEES</t>
  </si>
  <si>
    <t>Broad Market Index</t>
  </si>
  <si>
    <t>~75 units</t>
  </si>
  <si>
    <t>₹265.43</t>
  </si>
  <si>
    <t>-4.11%</t>
  </si>
  <si>
    <t>SBI Gold ETF</t>
  </si>
  <si>
    <t>NSE: SBIGETS</t>
  </si>
  <si>
    <t>Commodity (Gold)</t>
  </si>
  <si>
    <t>~120 units</t>
  </si>
  <si>
    <t>~₹81</t>
  </si>
  <si>
    <t>Low</t>
  </si>
  <si>
    <t>Hedge</t>
  </si>
  <si>
    <t>Bitcoin (BTC)</t>
  </si>
  <si>
    <t>Crypto</t>
  </si>
  <si>
    <t>BTC-INR</t>
  </si>
  <si>
    <t>Digital Asset</t>
  </si>
  <si>
    <t>~0.00017 BTC</t>
  </si>
  <si>
    <t>~₹58–61 L</t>
  </si>
  <si>
    <t>-52% from ATH</t>
  </si>
  <si>
    <t>Ethereum (ETH)</t>
  </si>
  <si>
    <t>ETH-INR</t>
  </si>
  <si>
    <t>DeFi / Smart Contracts</t>
  </si>
  <si>
    <t>~0.044 ETH</t>
  </si>
  <si>
    <t>~₹1.35 L</t>
  </si>
  <si>
    <t>-68% from ATH</t>
  </si>
  <si>
    <t>Solana (SOL)</t>
  </si>
  <si>
    <t>SOL-INR</t>
  </si>
  <si>
    <t>Layer-1 Blockchain</t>
  </si>
  <si>
    <t>~0.75 SOL</t>
  </si>
  <si>
    <t>~₹5,250</t>
  </si>
  <si>
    <t>-79% from ATH</t>
  </si>
  <si>
    <t>TOTAL</t>
  </si>
  <si>
    <t>8 Assets</t>
  </si>
  <si>
    <t>SECTION C — RISK ASSESSMENT MATRIX</t>
  </si>
  <si>
    <t>Key Risks</t>
  </si>
  <si>
    <t>Mitigating Factor</t>
  </si>
  <si>
    <t>Stocks</t>
  </si>
  <si>
    <t>Market downturn, sector slowdown, policy risk</t>
  </si>
  <si>
    <t>Blue-chip large-caps; diversified across Energy, IT &amp; Banking; max 20% per stock</t>
  </si>
  <si>
    <t>Nifty 50 ETF</t>
  </si>
  <si>
    <t>Broad market correction, tracking error</t>
  </si>
  <si>
    <t>Passive diversification across 50 cos; 14.76% CAGR since 2001; 0.03% expense ratio</t>
  </si>
  <si>
    <t>Gold ETF</t>
  </si>
  <si>
    <t>Gold price volatility, currency fluctuation</t>
  </si>
  <si>
    <t>Acts as inverse hedge to equities; gains during market downturns &amp; INR depreciation</t>
  </si>
  <si>
    <t>Extreme volatility, regulatory risk, exchange risk</t>
  </si>
  <si>
    <t>Capped at 20% total; BTC/ETH/SOL diversification; regulated Indian platforms only</t>
  </si>
  <si>
    <t>INVESTMENT STRATEGY &amp; REVIEW TIMELINE</t>
  </si>
  <si>
    <t>REVIEW &amp; ACTION TIMELINE</t>
  </si>
  <si>
    <t>Time Frame</t>
  </si>
  <si>
    <t>Expected Action</t>
  </si>
  <si>
    <t>Review Trigger</t>
  </si>
  <si>
    <t>Target</t>
  </si>
  <si>
    <t>0–3 Months</t>
  </si>
  <si>
    <t>Hold; add to ETF on dips</t>
  </si>
  <si>
    <t>Crypto recovery signal; Q1 FY27 earnings</t>
  </si>
  <si>
    <t>Stabilise portfolio base</t>
  </si>
  <si>
    <t>3–6 Months</t>
  </si>
  <si>
    <t>Rebalance if any asset drifts &gt;5%</t>
  </si>
  <si>
    <t>HDFC NIM recovery; TCS deal pipeline; BTC halving cycle</t>
  </si>
  <si>
    <t>Maintain target weights</t>
  </si>
  <si>
    <t>6–12 Months</t>
  </si>
  <si>
    <t>Partial crypto profit booking</t>
  </si>
  <si>
    <t>If crypto 2x from entry: book 50%, shift to ETF</t>
  </si>
  <si>
    <t>De-risk on gains</t>
  </si>
  <si>
    <t>12–24 Months</t>
  </si>
  <si>
    <t>Full portfolio reassessment</t>
  </si>
  <si>
    <t>Annual review; macro outlook change</t>
  </si>
  <si>
    <t>₹1,15,000–₹1,30,000 (15–30% return)</t>
  </si>
  <si>
    <t>RISK MANAGEMENT PRINCIPLES</t>
  </si>
  <si>
    <t xml:space="preserve">  ▶  Diversification: Stocks 50% + ETFs 30% + Crypto 20% — no single class can collapse the portfolio.</t>
  </si>
  <si>
    <t xml:space="preserve">  ▶  Sectoral spread within stocks: Energy, IT, Banking — rarely all decline simultaneously.</t>
  </si>
  <si>
    <t xml:space="preserve">  ▶  Position sizing: No single stock &gt;20% of total; crypto capped at 20% collectively.</t>
  </si>
  <si>
    <t xml:space="preserve">  ▶  Liquidity: All assets listed on NSE/BSE — exit within T+1 or T+2 days.</t>
  </si>
  <si>
    <t xml:space="preserve">  ▶  Regular rebalancing: Review every 3–6 months; adjust weights if drift &gt;5%.</t>
  </si>
  <si>
    <t xml:space="preserve">  ▶  Stop-loss discipline for crypto: 30–40% drawdown from entry triggers reassessment.</t>
  </si>
  <si>
    <t>CRYPTOCURRENCY ALLOCATION — DETAIL  |  As of June 6, 2026</t>
  </si>
  <si>
    <t>Coin</t>
  </si>
  <si>
    <t>Symbol</t>
  </si>
  <si>
    <t>Price (USD)</t>
  </si>
  <si>
    <t>Price (INR approx.)</t>
  </si>
  <si>
    <t>Crypto Alloc</t>
  </si>
  <si>
    <t>Total Alloc</t>
  </si>
  <si>
    <t>Units</t>
  </si>
  <si>
    <t>Core Thesis</t>
  </si>
  <si>
    <t>Bitcoin</t>
  </si>
  <si>
    <t>BTC</t>
  </si>
  <si>
    <t>$60,729</t>
  </si>
  <si>
    <t>~₹58–61 Lakh</t>
  </si>
  <si>
    <t>50%</t>
  </si>
  <si>
    <t>10%</t>
  </si>
  <si>
    <t>Store of value / Digital gold — scarcity (21M cap) &amp; institutional ETF adoption</t>
  </si>
  <si>
    <t>Ethereum</t>
  </si>
  <si>
    <t>ETH</t>
  </si>
  <si>
    <t>$1,596</t>
  </si>
  <si>
    <t>~₹1.35 Lakh</t>
  </si>
  <si>
    <t>30%</t>
  </si>
  <si>
    <t>6%</t>
  </si>
  <si>
    <t>DeFi / Smart contracts platform — Pectra upgrade, Layer-2 ecosystem</t>
  </si>
  <si>
    <t>Solana</t>
  </si>
  <si>
    <t>SOL</t>
  </si>
  <si>
    <t>$62.06</t>
  </si>
  <si>
    <t>~₹5,200–5,300</t>
  </si>
  <si>
    <t>20%</t>
  </si>
  <si>
    <t>4%</t>
  </si>
  <si>
    <t>High-speed Layer-1 — Alpenglow upgrade, 11,500+ new devs in 2025</t>
  </si>
  <si>
    <t>TOTAL CRYPTO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</si>
</sst>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1E7D4A"/>
      <name val="Arial"/>
      <charset val="1"/>
    </font>
    <font>
      <b/>
      <sz val="9"/>
      <color rgb="FF2E75B6"/>
      <name val="Arial"/>
      <charset val="1"/>
    </font>
    <font>
      <b/>
      <sz val="9"/>
      <color rgb="FFD4A017"/>
      <name val="Arial"/>
      <charset val="1"/>
    </font>
    <font>
      <b/>
      <sz val="9"/>
      <color rgb="FFC0392B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5F0E3"/>
        <bgColor rgb="FFD6E4F0"/>
      </patternFill>
    </fill>
    <fill>
      <patternFill patternType="solid">
        <fgColor rgb="FFD6E4F0"/>
        <bgColor rgb="FFD5F0E3"/>
      </patternFill>
    </fill>
    <fill>
      <patternFill patternType="solid">
        <fgColor rgb="FFFFF3CD"/>
        <bgColor rgb="FFFDECEA"/>
      </patternFill>
    </fill>
    <fill>
      <patternFill patternType="solid">
        <fgColor rgb="FFF2F2F2"/>
        <bgColor rgb="FFF5EEF8"/>
      </patternFill>
    </fill>
    <fill>
      <patternFill patternType="solid">
        <fgColor rgb="FFFDECEA"/>
        <bgColor rgb="FFF5EEF8"/>
      </patternFill>
    </fill>
    <fill>
      <patternFill patternType="solid">
        <fgColor rgb="FFF5EEF8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9" fontId="6" fillId="7" borderId="3" xfId="0" applyNumberFormat="1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9" fontId="7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164" fontId="5" fillId="8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A"/>
      <rgbColor rgb="FFCCCCCC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EF8"/>
      <rgbColor rgb="FFD5F0E3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A017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zoomScaleNormal="100" workbookViewId="0">
      <selection activeCell="D34" sqref="D34"/>
    </sheetView>
  </sheetViews>
  <sheetFormatPr defaultColWidth="8.6640625" defaultRowHeight="14.4" x14ac:dyDescent="0.3"/>
  <cols>
    <col min="1" max="1" width="24" customWidth="1"/>
    <col min="2" max="2" width="12" customWidth="1"/>
    <col min="3" max="3" width="35.44140625" bestFit="1" customWidth="1"/>
    <col min="4" max="4" width="64.33203125" bestFit="1" customWidth="1"/>
    <col min="5" max="5" width="12" customWidth="1"/>
    <col min="6" max="6" width="17.5546875" bestFit="1" customWidth="1"/>
    <col min="7" max="8" width="14" customWidth="1"/>
    <col min="9" max="9" width="12" customWidth="1"/>
    <col min="10" max="10" width="18" customWidth="1"/>
  </cols>
  <sheetData>
    <row r="1" spans="1:10" ht="39.7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1.7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15" customHeight="1" x14ac:dyDescent="0.3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24" x14ac:dyDescent="0.3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pans="1:10" ht="19.5" customHeight="1" x14ac:dyDescent="0.3">
      <c r="A6" s="12" t="s">
        <v>13</v>
      </c>
      <c r="B6" s="13">
        <v>0.5</v>
      </c>
      <c r="C6" s="14">
        <v>50000</v>
      </c>
      <c r="D6" s="12">
        <v>3</v>
      </c>
      <c r="E6" s="12" t="s">
        <v>14</v>
      </c>
      <c r="F6" s="57" t="s">
        <v>15</v>
      </c>
      <c r="G6" s="12" t="s">
        <v>16</v>
      </c>
      <c r="H6" s="12" t="s">
        <v>17</v>
      </c>
      <c r="I6" s="12" t="s">
        <v>18</v>
      </c>
      <c r="J6" s="12" t="s">
        <v>19</v>
      </c>
    </row>
    <row r="7" spans="1:10" ht="19.5" customHeight="1" x14ac:dyDescent="0.3">
      <c r="A7" s="15" t="s">
        <v>20</v>
      </c>
      <c r="B7" s="16">
        <v>0.3</v>
      </c>
      <c r="C7" s="17">
        <v>30000</v>
      </c>
      <c r="D7" s="15">
        <v>2</v>
      </c>
      <c r="E7" s="15" t="s">
        <v>21</v>
      </c>
      <c r="F7" s="58" t="s">
        <v>22</v>
      </c>
      <c r="G7" s="15" t="s">
        <v>23</v>
      </c>
      <c r="H7" s="15" t="s">
        <v>24</v>
      </c>
      <c r="I7" s="15" t="s">
        <v>18</v>
      </c>
      <c r="J7" s="15" t="s">
        <v>19</v>
      </c>
    </row>
    <row r="8" spans="1:10" ht="19.5" customHeight="1" x14ac:dyDescent="0.3">
      <c r="A8" s="18" t="s">
        <v>25</v>
      </c>
      <c r="B8" s="19">
        <v>0.2</v>
      </c>
      <c r="C8" s="20">
        <v>20000</v>
      </c>
      <c r="D8" s="18">
        <v>3</v>
      </c>
      <c r="E8" s="18" t="s">
        <v>26</v>
      </c>
      <c r="F8" s="59" t="s">
        <v>27</v>
      </c>
      <c r="G8" s="18" t="s">
        <v>28</v>
      </c>
      <c r="H8" s="18" t="s">
        <v>29</v>
      </c>
      <c r="I8" s="18" t="s">
        <v>30</v>
      </c>
      <c r="J8" s="18" t="s">
        <v>31</v>
      </c>
    </row>
    <row r="9" spans="1:10" ht="19.5" customHeight="1" x14ac:dyDescent="0.3">
      <c r="A9" s="21" t="s">
        <v>32</v>
      </c>
      <c r="B9" s="22">
        <v>1</v>
      </c>
      <c r="C9" s="23">
        <v>100000</v>
      </c>
      <c r="D9" s="21">
        <v>8</v>
      </c>
      <c r="E9" s="21" t="s">
        <v>33</v>
      </c>
      <c r="F9" s="60" t="s">
        <v>34</v>
      </c>
      <c r="G9" s="21" t="s">
        <v>35</v>
      </c>
      <c r="H9" s="21" t="s">
        <v>36</v>
      </c>
      <c r="I9" s="21" t="s">
        <v>37</v>
      </c>
      <c r="J9" s="21" t="s">
        <v>38</v>
      </c>
    </row>
    <row r="11" spans="1:10" ht="15" customHeight="1" x14ac:dyDescent="0.3">
      <c r="A11" s="8" t="s">
        <v>39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11" t="s">
        <v>40</v>
      </c>
      <c r="B12" s="11" t="s">
        <v>41</v>
      </c>
      <c r="C12" s="11" t="s">
        <v>42</v>
      </c>
      <c r="D12" s="11" t="s">
        <v>43</v>
      </c>
      <c r="E12" s="11" t="s">
        <v>4</v>
      </c>
      <c r="F12" s="11" t="s">
        <v>5</v>
      </c>
      <c r="G12" s="11" t="s">
        <v>44</v>
      </c>
      <c r="H12" s="11" t="s">
        <v>45</v>
      </c>
      <c r="I12" s="11" t="s">
        <v>7</v>
      </c>
      <c r="J12" s="11" t="s">
        <v>46</v>
      </c>
    </row>
    <row r="13" spans="1:10" ht="19.5" customHeight="1" x14ac:dyDescent="0.3">
      <c r="A13" s="12" t="s">
        <v>47</v>
      </c>
      <c r="B13" s="12" t="s">
        <v>48</v>
      </c>
      <c r="C13" s="12" t="s">
        <v>49</v>
      </c>
      <c r="D13" s="12" t="s">
        <v>50</v>
      </c>
      <c r="E13" s="13">
        <v>0.2</v>
      </c>
      <c r="F13" s="14">
        <v>20000</v>
      </c>
      <c r="G13" s="12" t="s">
        <v>51</v>
      </c>
      <c r="H13" s="12" t="s">
        <v>52</v>
      </c>
      <c r="I13" s="12" t="s">
        <v>14</v>
      </c>
      <c r="J13" s="12" t="s">
        <v>53</v>
      </c>
    </row>
    <row r="14" spans="1:10" ht="19.5" customHeight="1" x14ac:dyDescent="0.3">
      <c r="A14" s="12" t="s">
        <v>54</v>
      </c>
      <c r="B14" s="12" t="s">
        <v>48</v>
      </c>
      <c r="C14" s="12" t="s">
        <v>55</v>
      </c>
      <c r="D14" s="12" t="s">
        <v>56</v>
      </c>
      <c r="E14" s="13">
        <v>0.15</v>
      </c>
      <c r="F14" s="14">
        <v>15000</v>
      </c>
      <c r="G14" s="12" t="s">
        <v>57</v>
      </c>
      <c r="H14" s="12" t="s">
        <v>58</v>
      </c>
      <c r="I14" s="12" t="s">
        <v>14</v>
      </c>
      <c r="J14" s="12" t="s">
        <v>59</v>
      </c>
    </row>
    <row r="15" spans="1:10" ht="19.5" customHeight="1" x14ac:dyDescent="0.3">
      <c r="A15" s="12" t="s">
        <v>60</v>
      </c>
      <c r="B15" s="12" t="s">
        <v>48</v>
      </c>
      <c r="C15" s="12" t="s">
        <v>61</v>
      </c>
      <c r="D15" s="12" t="s">
        <v>62</v>
      </c>
      <c r="E15" s="13">
        <v>0.15</v>
      </c>
      <c r="F15" s="14">
        <v>15000</v>
      </c>
      <c r="G15" s="12" t="s">
        <v>63</v>
      </c>
      <c r="H15" s="12" t="s">
        <v>64</v>
      </c>
      <c r="I15" s="12" t="s">
        <v>14</v>
      </c>
      <c r="J15" s="12" t="s">
        <v>65</v>
      </c>
    </row>
    <row r="16" spans="1:10" ht="19.5" customHeight="1" x14ac:dyDescent="0.3">
      <c r="A16" s="15" t="s">
        <v>66</v>
      </c>
      <c r="B16" s="15" t="s">
        <v>67</v>
      </c>
      <c r="C16" s="15" t="s">
        <v>68</v>
      </c>
      <c r="D16" s="15" t="s">
        <v>69</v>
      </c>
      <c r="E16" s="16">
        <v>0.2</v>
      </c>
      <c r="F16" s="17">
        <v>20000</v>
      </c>
      <c r="G16" s="15" t="s">
        <v>70</v>
      </c>
      <c r="H16" s="15" t="s">
        <v>71</v>
      </c>
      <c r="I16" s="15" t="s">
        <v>21</v>
      </c>
      <c r="J16" s="15" t="s">
        <v>72</v>
      </c>
    </row>
    <row r="17" spans="1:10" ht="19.5" customHeight="1" x14ac:dyDescent="0.3">
      <c r="A17" s="15" t="s">
        <v>73</v>
      </c>
      <c r="B17" s="15" t="s">
        <v>67</v>
      </c>
      <c r="C17" s="15" t="s">
        <v>74</v>
      </c>
      <c r="D17" s="15" t="s">
        <v>75</v>
      </c>
      <c r="E17" s="16">
        <v>0.1</v>
      </c>
      <c r="F17" s="17">
        <v>10000</v>
      </c>
      <c r="G17" s="15" t="s">
        <v>76</v>
      </c>
      <c r="H17" s="15" t="s">
        <v>77</v>
      </c>
      <c r="I17" s="15" t="s">
        <v>78</v>
      </c>
      <c r="J17" s="15" t="s">
        <v>79</v>
      </c>
    </row>
    <row r="18" spans="1:10" ht="19.5" customHeight="1" x14ac:dyDescent="0.3">
      <c r="A18" s="18" t="s">
        <v>80</v>
      </c>
      <c r="B18" s="18" t="s">
        <v>81</v>
      </c>
      <c r="C18" s="18" t="s">
        <v>82</v>
      </c>
      <c r="D18" s="18" t="s">
        <v>83</v>
      </c>
      <c r="E18" s="19">
        <v>0.1</v>
      </c>
      <c r="F18" s="20">
        <v>10000</v>
      </c>
      <c r="G18" s="18" t="s">
        <v>84</v>
      </c>
      <c r="H18" s="18" t="s">
        <v>85</v>
      </c>
      <c r="I18" s="18" t="s">
        <v>26</v>
      </c>
      <c r="J18" s="18" t="s">
        <v>86</v>
      </c>
    </row>
    <row r="19" spans="1:10" ht="19.5" customHeight="1" x14ac:dyDescent="0.3">
      <c r="A19" s="18" t="s">
        <v>87</v>
      </c>
      <c r="B19" s="18" t="s">
        <v>81</v>
      </c>
      <c r="C19" s="18" t="s">
        <v>88</v>
      </c>
      <c r="D19" s="18" t="s">
        <v>89</v>
      </c>
      <c r="E19" s="19">
        <v>0.06</v>
      </c>
      <c r="F19" s="20">
        <v>6000</v>
      </c>
      <c r="G19" s="18" t="s">
        <v>90</v>
      </c>
      <c r="H19" s="18" t="s">
        <v>91</v>
      </c>
      <c r="I19" s="18" t="s">
        <v>26</v>
      </c>
      <c r="J19" s="18" t="s">
        <v>92</v>
      </c>
    </row>
    <row r="20" spans="1:10" ht="19.5" customHeight="1" x14ac:dyDescent="0.3">
      <c r="A20" s="18" t="s">
        <v>93</v>
      </c>
      <c r="B20" s="18" t="s">
        <v>81</v>
      </c>
      <c r="C20" s="18" t="s">
        <v>94</v>
      </c>
      <c r="D20" s="18" t="s">
        <v>95</v>
      </c>
      <c r="E20" s="19">
        <v>0.04</v>
      </c>
      <c r="F20" s="20">
        <v>4000</v>
      </c>
      <c r="G20" s="18" t="s">
        <v>96</v>
      </c>
      <c r="H20" s="18" t="s">
        <v>97</v>
      </c>
      <c r="I20" s="18" t="s">
        <v>26</v>
      </c>
      <c r="J20" s="18" t="s">
        <v>98</v>
      </c>
    </row>
    <row r="21" spans="1:10" ht="21.75" customHeight="1" x14ac:dyDescent="0.3">
      <c r="A21" s="24" t="s">
        <v>99</v>
      </c>
      <c r="B21" s="25">
        <f>SUM(E13:E20)</f>
        <v>1</v>
      </c>
      <c r="C21" s="26"/>
      <c r="D21" s="24" t="s">
        <v>100</v>
      </c>
      <c r="E21" s="27">
        <f>SUM(F13:F20)</f>
        <v>100000</v>
      </c>
      <c r="F21" s="26"/>
      <c r="G21" s="26"/>
      <c r="H21" s="26"/>
      <c r="I21" s="26"/>
      <c r="J21" s="26"/>
    </row>
    <row r="23" spans="1:10" ht="15" customHeight="1" x14ac:dyDescent="0.3">
      <c r="A23" s="8" t="s">
        <v>101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11" t="s">
        <v>3</v>
      </c>
      <c r="B24" s="11" t="s">
        <v>7</v>
      </c>
      <c r="C24" s="65" t="s">
        <v>102</v>
      </c>
      <c r="D24" s="11" t="s">
        <v>103</v>
      </c>
      <c r="E24" s="26"/>
      <c r="F24" s="26"/>
      <c r="G24" s="26"/>
      <c r="H24" s="26"/>
      <c r="I24" s="26"/>
      <c r="J24" s="26"/>
    </row>
    <row r="25" spans="1:10" ht="30" customHeight="1" x14ac:dyDescent="0.3">
      <c r="A25" s="28" t="s">
        <v>104</v>
      </c>
      <c r="B25" s="29" t="s">
        <v>14</v>
      </c>
      <c r="C25" s="61" t="s">
        <v>105</v>
      </c>
      <c r="D25" s="61" t="s">
        <v>106</v>
      </c>
      <c r="E25" s="30"/>
      <c r="F25" s="30"/>
      <c r="G25" s="30"/>
      <c r="H25" s="30"/>
      <c r="I25" s="30"/>
      <c r="J25" s="30"/>
    </row>
    <row r="26" spans="1:10" ht="30" customHeight="1" x14ac:dyDescent="0.3">
      <c r="A26" s="31" t="s">
        <v>107</v>
      </c>
      <c r="B26" s="32" t="s">
        <v>21</v>
      </c>
      <c r="C26" s="62" t="s">
        <v>108</v>
      </c>
      <c r="D26" s="62" t="s">
        <v>109</v>
      </c>
      <c r="E26" s="33"/>
      <c r="F26" s="33"/>
      <c r="G26" s="33"/>
      <c r="H26" s="33"/>
      <c r="I26" s="33"/>
      <c r="J26" s="33"/>
    </row>
    <row r="27" spans="1:10" ht="30" customHeight="1" x14ac:dyDescent="0.3">
      <c r="A27" s="34" t="s">
        <v>110</v>
      </c>
      <c r="B27" s="35" t="s">
        <v>78</v>
      </c>
      <c r="C27" s="63" t="s">
        <v>111</v>
      </c>
      <c r="D27" s="63" t="s">
        <v>112</v>
      </c>
      <c r="E27" s="37"/>
      <c r="F27" s="37"/>
      <c r="G27" s="37"/>
      <c r="H27" s="37"/>
      <c r="I27" s="37"/>
      <c r="J27" s="37"/>
    </row>
    <row r="28" spans="1:10" ht="30" customHeight="1" x14ac:dyDescent="0.3">
      <c r="A28" s="38" t="s">
        <v>25</v>
      </c>
      <c r="B28" s="39" t="s">
        <v>26</v>
      </c>
      <c r="C28" s="64" t="s">
        <v>113</v>
      </c>
      <c r="D28" s="64" t="s">
        <v>114</v>
      </c>
      <c r="E28" s="41"/>
      <c r="F28" s="41"/>
      <c r="G28" s="41"/>
      <c r="H28" s="41"/>
      <c r="I28" s="41"/>
      <c r="J28" s="41"/>
    </row>
  </sheetData>
  <mergeCells count="5">
    <mergeCell ref="A1:J1"/>
    <mergeCell ref="A2:J2"/>
    <mergeCell ref="A4:J4"/>
    <mergeCell ref="A11:J11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zoomScaleNormal="100" workbookViewId="0">
      <selection activeCell="I5" sqref="I5"/>
    </sheetView>
  </sheetViews>
  <sheetFormatPr defaultColWidth="8.6640625" defaultRowHeight="14.4" x14ac:dyDescent="0.3"/>
  <cols>
    <col min="1" max="1" width="16" customWidth="1"/>
    <col min="2" max="2" width="32" customWidth="1"/>
    <col min="3" max="3" width="49.44140625" bestFit="1" customWidth="1"/>
    <col min="4" max="4" width="32.6640625" bestFit="1" customWidth="1"/>
    <col min="5" max="6" width="10" customWidth="1"/>
  </cols>
  <sheetData>
    <row r="1" spans="1:6" ht="36" customHeight="1" x14ac:dyDescent="0.3">
      <c r="A1" s="7" t="s">
        <v>115</v>
      </c>
      <c r="B1" s="7"/>
      <c r="C1" s="7"/>
      <c r="D1" s="7"/>
      <c r="E1" s="7"/>
      <c r="F1" s="7"/>
    </row>
    <row r="3" spans="1:6" ht="15" customHeight="1" x14ac:dyDescent="0.3">
      <c r="A3" s="8" t="s">
        <v>116</v>
      </c>
      <c r="B3" s="8"/>
      <c r="C3" s="8"/>
      <c r="D3" s="8"/>
      <c r="E3" s="8"/>
      <c r="F3" s="8"/>
    </row>
    <row r="4" spans="1:6" x14ac:dyDescent="0.3">
      <c r="A4" s="42" t="s">
        <v>117</v>
      </c>
      <c r="B4" s="42" t="s">
        <v>118</v>
      </c>
      <c r="C4" s="42" t="s">
        <v>119</v>
      </c>
      <c r="D4" s="42" t="s">
        <v>120</v>
      </c>
      <c r="E4" s="26"/>
      <c r="F4" s="26"/>
    </row>
    <row r="5" spans="1:6" ht="31.5" customHeight="1" x14ac:dyDescent="0.3">
      <c r="A5" s="43" t="s">
        <v>121</v>
      </c>
      <c r="B5" s="44" t="s">
        <v>122</v>
      </c>
      <c r="C5" s="67" t="s">
        <v>123</v>
      </c>
      <c r="D5" s="67" t="s">
        <v>124</v>
      </c>
      <c r="E5" s="30"/>
      <c r="F5" s="30"/>
    </row>
    <row r="6" spans="1:6" ht="31.5" customHeight="1" x14ac:dyDescent="0.3">
      <c r="A6" s="45" t="s">
        <v>125</v>
      </c>
      <c r="B6" s="46" t="s">
        <v>126</v>
      </c>
      <c r="C6" s="68" t="s">
        <v>127</v>
      </c>
      <c r="D6" s="68" t="s">
        <v>128</v>
      </c>
      <c r="E6" s="33"/>
      <c r="F6" s="33"/>
    </row>
    <row r="7" spans="1:6" ht="31.5" customHeight="1" x14ac:dyDescent="0.3">
      <c r="A7" s="47" t="s">
        <v>129</v>
      </c>
      <c r="B7" s="48" t="s">
        <v>130</v>
      </c>
      <c r="C7" s="69" t="s">
        <v>131</v>
      </c>
      <c r="D7" s="69" t="s">
        <v>132</v>
      </c>
      <c r="E7" s="37"/>
      <c r="F7" s="37"/>
    </row>
    <row r="8" spans="1:6" ht="31.5" customHeight="1" x14ac:dyDescent="0.3">
      <c r="A8" s="49" t="s">
        <v>133</v>
      </c>
      <c r="B8" s="50" t="s">
        <v>134</v>
      </c>
      <c r="C8" s="70" t="s">
        <v>135</v>
      </c>
      <c r="D8" s="70" t="s">
        <v>136</v>
      </c>
      <c r="E8" s="41"/>
      <c r="F8" s="41"/>
    </row>
    <row r="11" spans="1:6" ht="15" customHeight="1" x14ac:dyDescent="0.3">
      <c r="A11" s="8" t="s">
        <v>137</v>
      </c>
      <c r="B11" s="8"/>
      <c r="C11" s="8"/>
      <c r="D11" s="8"/>
      <c r="E11" s="8"/>
      <c r="F11" s="8"/>
    </row>
    <row r="12" spans="1:6" ht="27.75" customHeight="1" x14ac:dyDescent="0.3">
      <c r="A12" s="6" t="s">
        <v>138</v>
      </c>
      <c r="B12" s="6"/>
      <c r="C12" s="6"/>
      <c r="D12" s="6"/>
      <c r="E12" s="6"/>
      <c r="F12" s="6"/>
    </row>
    <row r="13" spans="1:6" ht="27.75" customHeight="1" x14ac:dyDescent="0.3">
      <c r="A13" s="5" t="s">
        <v>139</v>
      </c>
      <c r="B13" s="5"/>
      <c r="C13" s="5"/>
      <c r="D13" s="5"/>
      <c r="E13" s="5"/>
      <c r="F13" s="5"/>
    </row>
    <row r="14" spans="1:6" ht="27.75" customHeight="1" x14ac:dyDescent="0.3">
      <c r="A14" s="4" t="s">
        <v>140</v>
      </c>
      <c r="B14" s="4"/>
      <c r="C14" s="4"/>
      <c r="D14" s="4"/>
      <c r="E14" s="4"/>
      <c r="F14" s="4"/>
    </row>
    <row r="15" spans="1:6" ht="27.75" customHeight="1" x14ac:dyDescent="0.3">
      <c r="A15" s="3" t="s">
        <v>141</v>
      </c>
      <c r="B15" s="3"/>
      <c r="C15" s="3"/>
      <c r="D15" s="3"/>
      <c r="E15" s="3"/>
      <c r="F15" s="3"/>
    </row>
    <row r="16" spans="1:6" ht="27.75" customHeight="1" x14ac:dyDescent="0.3">
      <c r="A16" s="2" t="s">
        <v>142</v>
      </c>
      <c r="B16" s="2"/>
      <c r="C16" s="2"/>
      <c r="D16" s="2"/>
      <c r="E16" s="2"/>
      <c r="F16" s="2"/>
    </row>
    <row r="17" spans="1:6" ht="27.75" customHeight="1" x14ac:dyDescent="0.3">
      <c r="A17" s="1" t="s">
        <v>143</v>
      </c>
      <c r="B17" s="1"/>
      <c r="C17" s="1"/>
      <c r="D17" s="1"/>
      <c r="E17" s="1"/>
      <c r="F17" s="1"/>
    </row>
  </sheetData>
  <mergeCells count="9">
    <mergeCell ref="A14:F14"/>
    <mergeCell ref="A15:F15"/>
    <mergeCell ref="A16:F16"/>
    <mergeCell ref="A17:F17"/>
    <mergeCell ref="A1:F1"/>
    <mergeCell ref="A3:F3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zoomScaleNormal="100" workbookViewId="0">
      <selection activeCell="I6" sqref="I6"/>
    </sheetView>
  </sheetViews>
  <sheetFormatPr defaultColWidth="8.6640625" defaultRowHeight="14.4" x14ac:dyDescent="0.3"/>
  <cols>
    <col min="1" max="1" width="15.21875" bestFit="1" customWidth="1"/>
    <col min="2" max="2" width="8" customWidth="1"/>
    <col min="3" max="3" width="12" customWidth="1"/>
    <col min="4" max="4" width="18" customWidth="1"/>
    <col min="5" max="5" width="11" customWidth="1"/>
    <col min="6" max="6" width="10" customWidth="1"/>
    <col min="7" max="7" width="12" customWidth="1"/>
    <col min="8" max="8" width="14" customWidth="1"/>
    <col min="9" max="9" width="50" customWidth="1"/>
  </cols>
  <sheetData>
    <row r="1" spans="1:9" ht="36" customHeight="1" x14ac:dyDescent="0.3">
      <c r="A1" s="7" t="s">
        <v>144</v>
      </c>
      <c r="B1" s="7"/>
      <c r="C1" s="7"/>
      <c r="D1" s="7"/>
      <c r="E1" s="7"/>
      <c r="F1" s="7"/>
      <c r="G1" s="7"/>
    </row>
    <row r="3" spans="1:9" x14ac:dyDescent="0.3">
      <c r="A3" s="11" t="s">
        <v>145</v>
      </c>
      <c r="B3" s="11" t="s">
        <v>146</v>
      </c>
      <c r="C3" s="11" t="s">
        <v>147</v>
      </c>
      <c r="D3" s="11" t="s">
        <v>148</v>
      </c>
      <c r="E3" s="11" t="s">
        <v>149</v>
      </c>
      <c r="F3" s="11" t="s">
        <v>150</v>
      </c>
      <c r="G3" s="11" t="s">
        <v>5</v>
      </c>
      <c r="H3" s="11" t="s">
        <v>151</v>
      </c>
      <c r="I3" s="11" t="s">
        <v>152</v>
      </c>
    </row>
    <row r="4" spans="1:9" ht="39.75" customHeight="1" x14ac:dyDescent="0.3">
      <c r="A4" s="34" t="s">
        <v>153</v>
      </c>
      <c r="B4" s="34" t="s">
        <v>154</v>
      </c>
      <c r="C4" s="18" t="s">
        <v>155</v>
      </c>
      <c r="D4" s="18" t="s">
        <v>156</v>
      </c>
      <c r="E4" s="18" t="s">
        <v>157</v>
      </c>
      <c r="F4" s="18" t="s">
        <v>158</v>
      </c>
      <c r="G4" s="20">
        <v>10000</v>
      </c>
      <c r="H4" s="18" t="s">
        <v>84</v>
      </c>
      <c r="I4" s="36" t="s">
        <v>159</v>
      </c>
    </row>
    <row r="5" spans="1:9" ht="39.75" customHeight="1" x14ac:dyDescent="0.3">
      <c r="A5" s="51" t="s">
        <v>160</v>
      </c>
      <c r="B5" s="51" t="s">
        <v>161</v>
      </c>
      <c r="C5" s="52" t="s">
        <v>162</v>
      </c>
      <c r="D5" s="52" t="s">
        <v>163</v>
      </c>
      <c r="E5" s="52" t="s">
        <v>164</v>
      </c>
      <c r="F5" s="52" t="s">
        <v>165</v>
      </c>
      <c r="G5" s="53">
        <v>6000</v>
      </c>
      <c r="H5" s="52" t="s">
        <v>90</v>
      </c>
      <c r="I5" s="54" t="s">
        <v>166</v>
      </c>
    </row>
    <row r="6" spans="1:9" ht="39.75" customHeight="1" x14ac:dyDescent="0.3">
      <c r="A6" s="38" t="s">
        <v>167</v>
      </c>
      <c r="B6" s="38" t="s">
        <v>168</v>
      </c>
      <c r="C6" s="55" t="s">
        <v>169</v>
      </c>
      <c r="D6" s="55" t="s">
        <v>170</v>
      </c>
      <c r="E6" s="55" t="s">
        <v>171</v>
      </c>
      <c r="F6" s="55" t="s">
        <v>172</v>
      </c>
      <c r="G6" s="56">
        <v>4000</v>
      </c>
      <c r="H6" s="55" t="s">
        <v>96</v>
      </c>
      <c r="I6" s="40" t="s">
        <v>173</v>
      </c>
    </row>
    <row r="7" spans="1:9" ht="21.75" customHeight="1" x14ac:dyDescent="0.3">
      <c r="A7" s="66" t="s">
        <v>174</v>
      </c>
      <c r="B7" s="26"/>
      <c r="C7" s="26"/>
      <c r="D7" s="26"/>
      <c r="E7" s="26"/>
      <c r="F7" s="24" t="s">
        <v>171</v>
      </c>
      <c r="G7" s="27">
        <f>SUM(G4:G6)</f>
        <v>20000</v>
      </c>
      <c r="H7" s="26"/>
      <c r="I7" s="2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 Summary</vt:lpstr>
      <vt:lpstr>Strategy &amp; Timeline</vt:lpstr>
      <vt:lpstr>Crypto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Dholakia</cp:lastModifiedBy>
  <cp:revision>0</cp:revision>
  <dcterms:created xsi:type="dcterms:W3CDTF">2026-06-14T11:23:16Z</dcterms:created>
  <dcterms:modified xsi:type="dcterms:W3CDTF">2026-06-14T11:32:09Z</dcterms:modified>
  <dc:language>en-US</dc:language>
</cp:coreProperties>
</file>